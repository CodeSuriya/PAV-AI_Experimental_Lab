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PRINCE AV\Downloads\"/>
    </mc:Choice>
  </mc:AlternateContent>
  <xr:revisionPtr revIDLastSave="0" documentId="13_ncr:1_{C34B7368-DF6D-4532-B48A-F5AEFFD6FCE9}" xr6:coauthVersionLast="47" xr6:coauthVersionMax="47" xr10:uidLastSave="{00000000-0000-0000-0000-000000000000}"/>
  <bookViews>
    <workbookView xWindow="-108" yWindow="-108" windowWidth="23256" windowHeight="13176" xr2:uid="{BAB8AB05-83F9-4F99-9F0A-A6E1C36A7B93}"/>
  </bookViews>
  <sheets>
    <sheet name="Raw Inventory Data" sheetId="1" r:id="rId1"/>
    <sheet name="Stock Health Analysis" sheetId="3" r:id="rId2"/>
    <sheet name="Dashboard" sheetId="4" r:id="rId3"/>
    <sheet name="Suggestions &amp; Automation Idea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B7" i="3" l="1"/>
  <c r="B5" i="3"/>
  <c r="B6" i="3"/>
</calcChain>
</file>

<file path=xl/sharedStrings.xml><?xml version="1.0" encoding="utf-8"?>
<sst xmlns="http://schemas.openxmlformats.org/spreadsheetml/2006/main" count="415" uniqueCount="259">
  <si>
    <t>Item ID</t>
  </si>
  <si>
    <t>Category</t>
  </si>
  <si>
    <t xml:space="preserve">Sub-Category </t>
  </si>
  <si>
    <t>Item Name</t>
  </si>
  <si>
    <t>Stock Quantity</t>
  </si>
  <si>
    <t>Stock Status</t>
  </si>
  <si>
    <t>Priority Level</t>
  </si>
  <si>
    <t>Remarks</t>
  </si>
  <si>
    <t>FUR-001</t>
  </si>
  <si>
    <t>Lounges</t>
  </si>
  <si>
    <t>Sofa</t>
  </si>
  <si>
    <t>Laurent Velvet Curved 3-Seater Sofa</t>
  </si>
  <si>
    <t>High</t>
  </si>
  <si>
    <t>Premium lounge furniture</t>
  </si>
  <si>
    <t>FUR-002</t>
  </si>
  <si>
    <t>Chelsea Curved 2-Seater Sofa</t>
  </si>
  <si>
    <t>Low stock premium sofa</t>
  </si>
  <si>
    <t>FUR-003</t>
  </si>
  <si>
    <t>Chesterfield Armchair Sofa - 3 Seater</t>
  </si>
  <si>
    <t>Luxury seating</t>
  </si>
  <si>
    <t>FUR-004</t>
  </si>
  <si>
    <t>Chesterfield Armchair Sofa - Single Seater</t>
  </si>
  <si>
    <t>Medium</t>
  </si>
  <si>
    <t>Lounge seating</t>
  </si>
  <si>
    <t>FUR-005</t>
  </si>
  <si>
    <t>Sophie Single Seater Sofa</t>
  </si>
  <si>
    <t>Standard lounge furniture</t>
  </si>
  <si>
    <t>FUR-006</t>
  </si>
  <si>
    <t>Teddy Curved Single Seater Sofa</t>
  </si>
  <si>
    <t>Curved lounge seating</t>
  </si>
  <si>
    <t>FUR-007</t>
  </si>
  <si>
    <t>Chair</t>
  </si>
  <si>
    <t>Sleek Barrel Accent Chair</t>
  </si>
  <si>
    <t>High stock lounge chair</t>
  </si>
  <si>
    <t>FUR-008</t>
  </si>
  <si>
    <t>Chameleon Chair</t>
  </si>
  <si>
    <t>Frequently usable chair</t>
  </si>
  <si>
    <t>FUR-009</t>
  </si>
  <si>
    <t>Armchair</t>
  </si>
  <si>
    <t>Bismarck Armchair</t>
  </si>
  <si>
    <t>Premium armchair</t>
  </si>
  <si>
    <t>FUR-010</t>
  </si>
  <si>
    <t>Teal Velvet Armchair</t>
  </si>
  <si>
    <t>Low stock velvet chair</t>
  </si>
  <si>
    <t>FUR-011</t>
  </si>
  <si>
    <t>Dining Chairs</t>
  </si>
  <si>
    <t>Dining Chair</t>
  </si>
  <si>
    <t>Ivory Velvet Chair</t>
  </si>
  <si>
    <t>Dining seating</t>
  </si>
  <si>
    <t>FUR-012</t>
  </si>
  <si>
    <t>Elegant Bouclé Chair</t>
  </si>
  <si>
    <t>High availability chair</t>
  </si>
  <si>
    <t>FUR-013</t>
  </si>
  <si>
    <t>Banquet Chair</t>
  </si>
  <si>
    <t>Hilton Banquet Chair</t>
  </si>
  <si>
    <t>Core event inventory</t>
  </si>
  <si>
    <t>FUR-014</t>
  </si>
  <si>
    <t>Piano Chair</t>
  </si>
  <si>
    <t>Event chair</t>
  </si>
  <si>
    <t>FUR-015</t>
  </si>
  <si>
    <t>Wooden Chair</t>
  </si>
  <si>
    <t>Classic Wooden Chair</t>
  </si>
  <si>
    <t>Standard wooden seating</t>
  </si>
  <si>
    <t>FUR-016</t>
  </si>
  <si>
    <t>Sandsberg Chair</t>
  </si>
  <si>
    <t>Good inventory level</t>
  </si>
  <si>
    <t>FUR-017</t>
  </si>
  <si>
    <t>Bench</t>
  </si>
  <si>
    <t>Wooden Bench with Backrest</t>
  </si>
  <si>
    <t>Wooden seating bench</t>
  </si>
  <si>
    <t>FUR-018</t>
  </si>
  <si>
    <t>Scandinavian Collection</t>
  </si>
  <si>
    <t>Scandinavian White Armchair</t>
  </si>
  <si>
    <t>Very high inventory</t>
  </si>
  <si>
    <t>FUR-019</t>
  </si>
  <si>
    <t>Scandinavian Black Armchair</t>
  </si>
  <si>
    <t>Scandinavian seating</t>
  </si>
  <si>
    <t>FUR-020</t>
  </si>
  <si>
    <t>Bar Stool</t>
  </si>
  <si>
    <t>Scandinavian High Barstool</t>
  </si>
  <si>
    <t>Event bar seating</t>
  </si>
  <si>
    <t>FUR-021</t>
  </si>
  <si>
    <t>Table</t>
  </si>
  <si>
    <t>Scandinavian Dining Table</t>
  </si>
  <si>
    <t>Dining table</t>
  </si>
  <si>
    <t>FUR-022</t>
  </si>
  <si>
    <t>High Table</t>
  </si>
  <si>
    <t>Scandinavian High Table</t>
  </si>
  <si>
    <t>Low stock table</t>
  </si>
  <si>
    <t>FUR-023</t>
  </si>
  <si>
    <t>Scandinavian Rectangular Table</t>
  </si>
  <si>
    <t>Rectangular event table</t>
  </si>
  <si>
    <t>FUR-024</t>
  </si>
  <si>
    <t>Dining Tables</t>
  </si>
  <si>
    <t>Marble Table</t>
  </si>
  <si>
    <t>Round Marble Cone Base Table</t>
  </si>
  <si>
    <t>Premium marble table</t>
  </si>
  <si>
    <t>FUR-025</t>
  </si>
  <si>
    <t>Cocktail Tables</t>
  </si>
  <si>
    <t>Cocktail Table</t>
  </si>
  <si>
    <t>Fontana White Cocktail Table with Ceramic Top</t>
  </si>
  <si>
    <t>Event cocktail table</t>
  </si>
  <si>
    <t>FUR-026</t>
  </si>
  <si>
    <t>Coffee Tables</t>
  </si>
  <si>
    <t>Coffee Table</t>
  </si>
  <si>
    <t>Polaris Gold Wired Center Table</t>
  </si>
  <si>
    <t>Decorative center table</t>
  </si>
  <si>
    <t>FUR-027</t>
  </si>
  <si>
    <t>Le-Minou Rectangular Coffee Table</t>
  </si>
  <si>
    <t>Low stock coffee table</t>
  </si>
  <si>
    <t>FUR-028</t>
  </si>
  <si>
    <t>Devon Wooden Rectangular Coffee Table</t>
  </si>
  <si>
    <t>Wooden coffee table</t>
  </si>
  <si>
    <t>FUR-029</t>
  </si>
  <si>
    <t>Miscellaneous</t>
  </si>
  <si>
    <t>Rope</t>
  </si>
  <si>
    <t>Green Rope (1m Length)</t>
  </si>
  <si>
    <t>High stock accessory</t>
  </si>
  <si>
    <t>FUR-030</t>
  </si>
  <si>
    <t>Red Rope (1m Length)</t>
  </si>
  <si>
    <t>Event rope</t>
  </si>
  <si>
    <t>FUR-031</t>
  </si>
  <si>
    <t>Pole</t>
  </si>
  <si>
    <t>Gold Pole</t>
  </si>
  <si>
    <t>High inventory support item</t>
  </si>
  <si>
    <t>FUR-032</t>
  </si>
  <si>
    <t>Black Rope (1m Length)</t>
  </si>
  <si>
    <t>FUR-033</t>
  </si>
  <si>
    <t>Flag Base</t>
  </si>
  <si>
    <t>Round Concrete Flag Base (25kg)</t>
  </si>
  <si>
    <t>Event support item</t>
  </si>
  <si>
    <t>FUR-034</t>
  </si>
  <si>
    <t>Flag Pipe</t>
  </si>
  <si>
    <t>Silver Flag Pipes - L Shape</t>
  </si>
  <si>
    <t>Display support</t>
  </si>
  <si>
    <t>FUR-035</t>
  </si>
  <si>
    <t>Lighting</t>
  </si>
  <si>
    <t>Decorative Hanging Lamp</t>
  </si>
  <si>
    <t>Very low stock lighting</t>
  </si>
  <si>
    <t>FUR-036</t>
  </si>
  <si>
    <t>Decorative Lighting</t>
  </si>
  <si>
    <t>Decorative Arabic Lanterns</t>
  </si>
  <si>
    <t>Decorative event lighting</t>
  </si>
  <si>
    <t>FUR-037</t>
  </si>
  <si>
    <t>Decorative Moonlight Small (30cm Dia)</t>
  </si>
  <si>
    <t>High stock decor item</t>
  </si>
  <si>
    <t>FUR-038</t>
  </si>
  <si>
    <t>Decorative Moonlight Large (50cm Dia)</t>
  </si>
  <si>
    <t>Low stock decor item</t>
  </si>
  <si>
    <t>FUR-039</t>
  </si>
  <si>
    <t>Display Stand</t>
  </si>
  <si>
    <t>Easel Adjustable Canvas Holder</t>
  </si>
  <si>
    <t>Event display stand</t>
  </si>
  <si>
    <t>FUR-040</t>
  </si>
  <si>
    <t>Display Frame</t>
  </si>
  <si>
    <t>Metal Frame with Hook</t>
  </si>
  <si>
    <t>Display support frame</t>
  </si>
  <si>
    <t>Smart Furniture Inventory - Stock Health Analysis</t>
  </si>
  <si>
    <t>A</t>
  </si>
  <si>
    <t>B</t>
  </si>
  <si>
    <t>Total Inventory Items</t>
  </si>
  <si>
    <t>Critical Stock Items</t>
  </si>
  <si>
    <t>Medium Stock Items</t>
  </si>
  <si>
    <t>Healthy Stock Items</t>
  </si>
  <si>
    <t>INVENTORY CONDITION SUMMARY</t>
  </si>
  <si>
    <t>Status</t>
  </si>
  <si>
    <t>Meaning</t>
  </si>
  <si>
    <t>Critical</t>
  </si>
  <si>
    <t>Immediate reorder attention needed</t>
  </si>
  <si>
    <t>Monitor inventory regularly</t>
  </si>
  <si>
    <t>Healthy</t>
  </si>
  <si>
    <t>Inventory levels are stable</t>
  </si>
  <si>
    <t>Key Operational Insights</t>
  </si>
  <si>
    <r>
      <rPr>
        <b/>
        <sz val="12"/>
        <color theme="1"/>
        <rFont val="Cambria"/>
        <family val="1"/>
      </rPr>
      <t>Insight 1 -</t>
    </r>
    <r>
      <rPr>
        <sz val="12"/>
        <color theme="1"/>
        <rFont val="Cambria"/>
        <family val="1"/>
      </rPr>
      <t xml:space="preserve"> Several premium furniture items have low stock levels and may require procurement planning.</t>
    </r>
  </si>
  <si>
    <r>
      <rPr>
        <b/>
        <sz val="12"/>
        <color theme="1"/>
        <rFont val="Cambria"/>
        <family val="1"/>
      </rPr>
      <t>Insight 2 -</t>
    </r>
    <r>
      <rPr>
        <sz val="12"/>
        <color theme="1"/>
        <rFont val="Cambria"/>
        <family val="1"/>
      </rPr>
      <t xml:space="preserve"> Banquet chairs and Scandinavian furniture have high inventory availability, indicating core operational assets.</t>
    </r>
  </si>
  <si>
    <r>
      <rPr>
        <b/>
        <sz val="12"/>
        <color theme="1"/>
        <rFont val="Cambria"/>
        <family val="1"/>
      </rPr>
      <t>Insight 3 -</t>
    </r>
    <r>
      <rPr>
        <sz val="12"/>
        <color theme="1"/>
        <rFont val="Cambria"/>
        <family val="1"/>
      </rPr>
      <t xml:space="preserve"> Decorative and event-support items are moderately balanced but require periodic monitoring.</t>
    </r>
  </si>
  <si>
    <r>
      <rPr>
        <b/>
        <sz val="12"/>
        <color theme="1"/>
        <rFont val="Cambria"/>
        <family val="1"/>
      </rPr>
      <t>Insight 4 -</t>
    </r>
    <r>
      <rPr>
        <sz val="12"/>
        <color theme="1"/>
        <rFont val="Cambria"/>
        <family val="1"/>
      </rPr>
      <t xml:space="preserve"> The current inventory system can be improved using automated low-stock alerts and digital tracking systems.</t>
    </r>
  </si>
  <si>
    <t>Critical Item Table</t>
  </si>
  <si>
    <t>Live Operational Reporting</t>
  </si>
  <si>
    <t>Smart Furniture Inventory Dashboard</t>
  </si>
  <si>
    <t>TOTAL INVENTORY
40</t>
  </si>
  <si>
    <t>CRITICAL ITEMS
11</t>
  </si>
  <si>
    <t>MEDIUM ITEMS
13</t>
  </si>
  <si>
    <t>HEALTHY ITEMS
16</t>
  </si>
  <si>
    <t>Total Items</t>
  </si>
  <si>
    <t>Operational Status</t>
  </si>
  <si>
    <t>Strong Inventory Variety</t>
  </si>
  <si>
    <t>Operationally Stable</t>
  </si>
  <si>
    <t>Premium Inventory Available</t>
  </si>
  <si>
    <t>Limited Availability</t>
  </si>
  <si>
    <t>Moderate Availability</t>
  </si>
  <si>
    <t>High Support Inventory</t>
  </si>
  <si>
    <t>CATEGORY DISTRIBUTION TABLE</t>
  </si>
  <si>
    <t>CRITICAL STOCK ITEMS</t>
  </si>
  <si>
    <t>Action Required</t>
  </si>
  <si>
    <t>Immediate Reorder Recommended</t>
  </si>
  <si>
    <t>Procurement Planning Needed</t>
  </si>
  <si>
    <t>Urgent Stock Replenishment Required</t>
  </si>
  <si>
    <t>Low Stock Monitoring Required</t>
  </si>
  <si>
    <t>Inventory Restocking Evaluation Needed</t>
  </si>
  <si>
    <t>Reorder Assessment Recommended</t>
  </si>
  <si>
    <t>Premium Inventory Replenishment Needed</t>
  </si>
  <si>
    <t>Stock Monitoring Recommended</t>
  </si>
  <si>
    <t>Low Inventory Attention Required</t>
  </si>
  <si>
    <t>Immediate Restocking Needed</t>
  </si>
  <si>
    <t>Inventory Balancing Required</t>
  </si>
  <si>
    <t>Strong Lounge Seating Availability</t>
  </si>
  <si>
    <t>Operationally Stable Seating Inventory</t>
  </si>
  <si>
    <t>High Seating Readiness</t>
  </si>
  <si>
    <t>Event Ready Core Inventory</t>
  </si>
  <si>
    <t>Stable Operational Inventory</t>
  </si>
  <si>
    <t>Highly Available Premium Inventory</t>
  </si>
  <si>
    <t>Strong Scandinavian Furniture Availability</t>
  </si>
  <si>
    <t>Strong Event Seating Readiness</t>
  </si>
  <si>
    <t>High Support Inventory Availability</t>
  </si>
  <si>
    <t>Operationally Stable Support Item</t>
  </si>
  <si>
    <t>High Event Support Readiness</t>
  </si>
  <si>
    <t>Strong Event Operations Availability</t>
  </si>
  <si>
    <t>Silver Flag Pipe - L Shape</t>
  </si>
  <si>
    <t>Stable Display Support Inventory</t>
  </si>
  <si>
    <t>Decorative Inventory Well Balanced</t>
  </si>
  <si>
    <t>High Decorative Lighting Availability</t>
  </si>
  <si>
    <t>Strong Display Support Availability</t>
  </si>
  <si>
    <t>Stocks Quantity</t>
  </si>
  <si>
    <t>Elegant Boucle Chair</t>
  </si>
  <si>
    <t>HIGH AVAILABILITY ITEMS</t>
  </si>
  <si>
    <t>SMART INVENTORY AUTOMATION &amp; IMPROVEMENT IDEAS</t>
  </si>
  <si>
    <t>Current Inventory Observations</t>
  </si>
  <si>
    <t>Several premium furniture items have low stock availability.</t>
  </si>
  <si>
    <t>Inventory tracking is currently dependent on manual monitoring.</t>
  </si>
  <si>
    <t>Critical stock items require faster procurement visibility.</t>
  </si>
  <si>
    <t>Some categories have very high inventory concentration.</t>
  </si>
  <si>
    <t>Event support accessories are operationally stable.</t>
  </si>
  <si>
    <t>Automation Idea</t>
  </si>
  <si>
    <t>Business Benefit</t>
  </si>
  <si>
    <t>Automatic Low Stock Alerts</t>
  </si>
  <si>
    <t>Reduces stock shortage risk</t>
  </si>
  <si>
    <t>WhatsApp Inventory Notifications</t>
  </si>
  <si>
    <t>Faster operational response</t>
  </si>
  <si>
    <t>QR Code Inventory Tracking</t>
  </si>
  <si>
    <t>Easier item movement monitoring</t>
  </si>
  <si>
    <t>Digital Inventory Entry System</t>
  </si>
  <si>
    <t>Reduces manual errors</t>
  </si>
  <si>
    <t>AI-Based Stock Prediction</t>
  </si>
  <si>
    <t>Predicts future inventory demand</t>
  </si>
  <si>
    <t>Monthly Inventory Health Reports</t>
  </si>
  <si>
    <t>Improves management visibility</t>
  </si>
  <si>
    <t>Barcode Scanning System</t>
  </si>
  <si>
    <t>Faster inventory operations</t>
  </si>
  <si>
    <t>Auto Reorder Recommendation</t>
  </si>
  <si>
    <t>Helps procurement planning</t>
  </si>
  <si>
    <t>AI can identify fast-moving inventory trends.</t>
  </si>
  <si>
    <t>Predictive systems can estimate future stock shortages.</t>
  </si>
  <si>
    <t>AI dashboards can generate automatic operational reports.</t>
  </si>
  <si>
    <t>Smart alerts can notify management before inventory becomes critical.</t>
  </si>
  <si>
    <t>Digital tracking systems can improve warehouse visibility.</t>
  </si>
  <si>
    <t>Future AI Ideas</t>
  </si>
  <si>
    <t>PROJECT SUMMARY</t>
  </si>
  <si>
    <t>This inventory analysis system was created to improve inventory visibility, stock monitoring, and operational understanding using structured Excel-based reporting and automation logic. The system includes inventory classification, stock health analysis, operational dashboard reporting, and future automation improvement ideas.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</si>
</sst>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sz val="8"/>
      <name val="Calibri"/>
      <family val="2"/>
      <scheme val="minor"/>
    </font>
    <font>
      <b/>
      <sz val="20"/>
      <color theme="1"/>
      <name val="Cambria"/>
      <family val="1"/>
    </font>
    <font>
      <b/>
      <sz val="22"/>
      <color theme="0"/>
      <name val="Cambria"/>
      <family val="1"/>
    </font>
    <font>
      <sz val="20"/>
      <color theme="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/>
    <xf numFmtId="0" fontId="10" fillId="4" borderId="0" xfId="0" applyFont="1" applyFill="1"/>
    <xf numFmtId="0" fontId="7" fillId="3" borderId="1" xfId="0" applyFont="1" applyFill="1" applyBorder="1" applyAlignment="1">
      <alignment horizontal="center"/>
    </xf>
    <xf numFmtId="0" fontId="5" fillId="0" borderId="0" xfId="0" applyFont="1"/>
    <xf numFmtId="0" fontId="5" fillId="4" borderId="0" xfId="0" applyFont="1" applyFill="1"/>
    <xf numFmtId="0" fontId="7" fillId="10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wrapText="1"/>
    </xf>
    <xf numFmtId="0" fontId="5" fillId="10" borderId="9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 wrapText="1"/>
    </xf>
    <xf numFmtId="0" fontId="7" fillId="10" borderId="11" xfId="0" applyFont="1" applyFill="1" applyBorder="1"/>
    <xf numFmtId="0" fontId="3" fillId="10" borderId="12" xfId="0" applyFont="1" applyFill="1" applyBorder="1" applyAlignment="1">
      <alignment horizontal="center"/>
    </xf>
    <xf numFmtId="0" fontId="7" fillId="10" borderId="13" xfId="0" applyFont="1" applyFill="1" applyBorder="1"/>
    <xf numFmtId="0" fontId="7" fillId="10" borderId="1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4" fillId="8" borderId="0" xfId="0" applyFont="1" applyFill="1" applyAlignment="1">
      <alignment vertical="center"/>
    </xf>
    <xf numFmtId="0" fontId="5" fillId="8" borderId="0" xfId="0" applyFont="1" applyFill="1"/>
    <xf numFmtId="0" fontId="10" fillId="4" borderId="0" xfId="0" applyFont="1" applyFill="1"/>
    <xf numFmtId="0" fontId="0" fillId="4" borderId="0" xfId="0" applyFill="1"/>
    <xf numFmtId="0" fontId="8" fillId="9" borderId="2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4" borderId="0" xfId="0" applyFont="1" applyFill="1"/>
    <xf numFmtId="0" fontId="1" fillId="4" borderId="0" xfId="0" applyFont="1" applyFill="1"/>
    <xf numFmtId="0" fontId="11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8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12" fillId="2" borderId="0" xfId="0" applyFont="1" applyFill="1"/>
    <xf numFmtId="0" fontId="5" fillId="8" borderId="0" xfId="0" applyFont="1" applyFill="1"/>
    <xf numFmtId="0" fontId="1" fillId="8" borderId="0" xfId="0" applyFont="1" applyFill="1"/>
    <xf numFmtId="0" fontId="7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3" borderId="13" xfId="0" applyFont="1" applyFill="1" applyBorder="1" applyAlignment="1">
      <alignment wrapText="1"/>
    </xf>
    <xf numFmtId="0" fontId="7" fillId="3" borderId="15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7" fillId="3" borderId="11" xfId="0" applyFont="1" applyFill="1" applyBorder="1"/>
    <xf numFmtId="0" fontId="0" fillId="3" borderId="12" xfId="0" applyFill="1" applyBorder="1" applyAlignment="1">
      <alignment horizontal="center"/>
    </xf>
    <xf numFmtId="0" fontId="7" fillId="3" borderId="13" xfId="0" applyFont="1" applyFill="1" applyBorder="1"/>
    <xf numFmtId="0" fontId="7" fillId="3" borderId="14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FB4391E-D431-4CE9-917F-2FC26F673FE5}"/>
  </tableStyles>
  <colors>
    <mruColors>
      <color rgb="FFFF5050"/>
      <color rgb="FFF76767"/>
      <color rgb="FF99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77994-810A-4394-B4AB-93A4A90FCFE3}" name="Table1" displayName="Table1" ref="A1:H41" totalsRowShown="0" headerRowDxfId="12" dataDxfId="11">
  <autoFilter ref="A1:H41" xr:uid="{CDB77994-810A-4394-B4AB-93A4A90FCFE3}"/>
  <tableColumns count="8">
    <tableColumn id="1" xr3:uid="{4DB509F7-373D-4184-9920-FD9DA85A0396}" name="Item ID" dataDxfId="10"/>
    <tableColumn id="2" xr3:uid="{00C0B021-9FBA-445F-994D-AAE6BBCC4497}" name="Category" dataDxfId="9"/>
    <tableColumn id="3" xr3:uid="{C8FD1D30-B363-4ED4-867B-8470C6028322}" name="Sub-Category " dataDxfId="8"/>
    <tableColumn id="4" xr3:uid="{91923ECF-F0B4-4AA5-8491-FEE8C6DF44B2}" name="Item Name" dataDxfId="7"/>
    <tableColumn id="5" xr3:uid="{09F19E76-637F-4D09-8F6C-180626DDE1D2}" name="Stock Quantity" dataDxfId="6"/>
    <tableColumn id="6" xr3:uid="{CC715573-F1BA-4433-9AE3-9E561C074C7B}" name="Stock Status" dataDxfId="5">
      <calculatedColumnFormula>IF(E2&lt;=10, "Critical", IF(E2&lt;=30,"Medium","Healthy"))</calculatedColumnFormula>
    </tableColumn>
    <tableColumn id="7" xr3:uid="{D6A458ED-CFA9-4654-B069-1A25A24803CF}" name="Priority Level" dataDxfId="4"/>
    <tableColumn id="8" xr3:uid="{C4F21183-6F50-40AA-BEE7-DB0670349686}" name="Remark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4260-1285-471C-B87B-1A4F9E95A73A}">
  <dimension ref="A1:H41"/>
  <sheetViews>
    <sheetView tabSelected="1" zoomScaleNormal="100" workbookViewId="0">
      <selection activeCell="A22" sqref="A22:H22"/>
    </sheetView>
  </sheetViews>
  <sheetFormatPr defaultRowHeight="15" x14ac:dyDescent="0.25"/>
  <cols>
    <col min="1" max="1" width="10.44140625" style="5" customWidth="1"/>
    <col min="2" max="2" width="14.77734375" style="5" customWidth="1"/>
    <col min="3" max="3" width="16.88671875" style="5" customWidth="1"/>
    <col min="4" max="4" width="19.109375" style="5" customWidth="1"/>
    <col min="5" max="5" width="17.6640625" style="5" customWidth="1"/>
    <col min="6" max="6" width="15" style="5" customWidth="1"/>
    <col min="7" max="7" width="16.77734375" style="5" customWidth="1"/>
    <col min="8" max="8" width="17.33203125" style="5" customWidth="1"/>
    <col min="9" max="16384" width="8.88671875" style="5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4" t="s">
        <v>8</v>
      </c>
      <c r="B2" s="4" t="s">
        <v>9</v>
      </c>
      <c r="C2" s="4" t="s">
        <v>10</v>
      </c>
      <c r="D2" s="4" t="s">
        <v>11</v>
      </c>
      <c r="E2" s="4">
        <v>3</v>
      </c>
      <c r="F2" s="4" t="str">
        <f t="shared" ref="F2:F41" si="0">IF(E2&lt;=10, "Critical", IF(E2&lt;=30,"Medium","Healthy"))</f>
        <v>Critical</v>
      </c>
      <c r="G2" s="4" t="s">
        <v>12</v>
      </c>
      <c r="H2" s="4" t="s">
        <v>13</v>
      </c>
    </row>
    <row r="3" spans="1:8" ht="52.8" customHeight="1" x14ac:dyDescent="0.25">
      <c r="A3" s="4" t="s">
        <v>14</v>
      </c>
      <c r="B3" s="4" t="s">
        <v>9</v>
      </c>
      <c r="C3" s="4" t="s">
        <v>10</v>
      </c>
      <c r="D3" s="4" t="s">
        <v>15</v>
      </c>
      <c r="E3" s="4">
        <v>5</v>
      </c>
      <c r="F3" s="4" t="str">
        <f t="shared" si="0"/>
        <v>Critical</v>
      </c>
      <c r="G3" s="4" t="s">
        <v>12</v>
      </c>
      <c r="H3" s="4" t="s">
        <v>16</v>
      </c>
    </row>
    <row r="4" spans="1:8" ht="45" x14ac:dyDescent="0.25">
      <c r="A4" s="4" t="s">
        <v>17</v>
      </c>
      <c r="B4" s="4" t="s">
        <v>9</v>
      </c>
      <c r="C4" s="4" t="s">
        <v>10</v>
      </c>
      <c r="D4" s="4" t="s">
        <v>18</v>
      </c>
      <c r="E4" s="4">
        <v>3</v>
      </c>
      <c r="F4" s="4" t="str">
        <f t="shared" si="0"/>
        <v>Critical</v>
      </c>
      <c r="G4" s="4" t="s">
        <v>12</v>
      </c>
      <c r="H4" s="4" t="s">
        <v>19</v>
      </c>
    </row>
    <row r="5" spans="1:8" ht="52.2" customHeight="1" x14ac:dyDescent="0.25">
      <c r="A5" s="4" t="s">
        <v>20</v>
      </c>
      <c r="B5" s="4" t="s">
        <v>9</v>
      </c>
      <c r="C5" s="4" t="s">
        <v>10</v>
      </c>
      <c r="D5" s="4" t="s">
        <v>21</v>
      </c>
      <c r="E5" s="4">
        <v>20</v>
      </c>
      <c r="F5" s="4" t="str">
        <f t="shared" si="0"/>
        <v>Medium</v>
      </c>
      <c r="G5" s="4" t="s">
        <v>22</v>
      </c>
      <c r="H5" s="4" t="s">
        <v>23</v>
      </c>
    </row>
    <row r="6" spans="1:8" ht="49.2" customHeight="1" x14ac:dyDescent="0.25">
      <c r="A6" s="4" t="s">
        <v>24</v>
      </c>
      <c r="B6" s="4" t="s">
        <v>9</v>
      </c>
      <c r="C6" s="4" t="s">
        <v>10</v>
      </c>
      <c r="D6" s="4" t="s">
        <v>25</v>
      </c>
      <c r="E6" s="4">
        <v>23</v>
      </c>
      <c r="F6" s="4" t="str">
        <f t="shared" si="0"/>
        <v>Medium</v>
      </c>
      <c r="G6" s="4" t="s">
        <v>22</v>
      </c>
      <c r="H6" s="4" t="s">
        <v>26</v>
      </c>
    </row>
    <row r="7" spans="1:8" ht="44.4" customHeight="1" x14ac:dyDescent="0.25">
      <c r="A7" s="4" t="s">
        <v>27</v>
      </c>
      <c r="B7" s="4" t="s">
        <v>9</v>
      </c>
      <c r="C7" s="4" t="s">
        <v>10</v>
      </c>
      <c r="D7" s="4" t="s">
        <v>28</v>
      </c>
      <c r="E7" s="4">
        <v>18</v>
      </c>
      <c r="F7" s="4" t="str">
        <f t="shared" si="0"/>
        <v>Medium</v>
      </c>
      <c r="G7" s="4" t="s">
        <v>22</v>
      </c>
      <c r="H7" s="4" t="s">
        <v>29</v>
      </c>
    </row>
    <row r="8" spans="1:8" ht="46.8" customHeight="1" x14ac:dyDescent="0.25">
      <c r="A8" s="4" t="s">
        <v>30</v>
      </c>
      <c r="B8" s="4" t="s">
        <v>9</v>
      </c>
      <c r="C8" s="4" t="s">
        <v>31</v>
      </c>
      <c r="D8" s="4" t="s">
        <v>32</v>
      </c>
      <c r="E8" s="4">
        <v>77</v>
      </c>
      <c r="F8" s="4" t="str">
        <f t="shared" si="0"/>
        <v>Healthy</v>
      </c>
      <c r="G8" s="4" t="s">
        <v>12</v>
      </c>
      <c r="H8" s="4" t="s">
        <v>33</v>
      </c>
    </row>
    <row r="9" spans="1:8" ht="52.8" customHeight="1" x14ac:dyDescent="0.25">
      <c r="A9" s="4" t="s">
        <v>34</v>
      </c>
      <c r="B9" s="4" t="s">
        <v>9</v>
      </c>
      <c r="C9" s="4" t="s">
        <v>31</v>
      </c>
      <c r="D9" s="4" t="s">
        <v>35</v>
      </c>
      <c r="E9" s="4">
        <v>55</v>
      </c>
      <c r="F9" s="4" t="str">
        <f t="shared" si="0"/>
        <v>Healthy</v>
      </c>
      <c r="G9" s="4" t="s">
        <v>12</v>
      </c>
      <c r="H9" s="4" t="s">
        <v>36</v>
      </c>
    </row>
    <row r="10" spans="1:8" ht="45" customHeight="1" x14ac:dyDescent="0.25">
      <c r="A10" s="4" t="s">
        <v>37</v>
      </c>
      <c r="B10" s="4" t="s">
        <v>9</v>
      </c>
      <c r="C10" s="4" t="s">
        <v>38</v>
      </c>
      <c r="D10" s="4" t="s">
        <v>39</v>
      </c>
      <c r="E10" s="4">
        <v>23</v>
      </c>
      <c r="F10" s="4" t="str">
        <f t="shared" si="0"/>
        <v>Medium</v>
      </c>
      <c r="G10" s="4" t="s">
        <v>22</v>
      </c>
      <c r="H10" s="4" t="s">
        <v>40</v>
      </c>
    </row>
    <row r="11" spans="1:8" ht="44.4" customHeight="1" x14ac:dyDescent="0.25">
      <c r="A11" s="4" t="s">
        <v>41</v>
      </c>
      <c r="B11" s="4" t="s">
        <v>9</v>
      </c>
      <c r="C11" s="4" t="s">
        <v>38</v>
      </c>
      <c r="D11" s="4" t="s">
        <v>42</v>
      </c>
      <c r="E11" s="4">
        <v>9</v>
      </c>
      <c r="F11" s="4" t="str">
        <f t="shared" si="0"/>
        <v>Critical</v>
      </c>
      <c r="G11" s="4" t="s">
        <v>22</v>
      </c>
      <c r="H11" s="4" t="s">
        <v>43</v>
      </c>
    </row>
    <row r="12" spans="1:8" ht="46.8" customHeight="1" x14ac:dyDescent="0.25">
      <c r="A12" s="4" t="s">
        <v>44</v>
      </c>
      <c r="B12" s="4" t="s">
        <v>45</v>
      </c>
      <c r="C12" s="4" t="s">
        <v>46</v>
      </c>
      <c r="D12" s="4" t="s">
        <v>47</v>
      </c>
      <c r="E12" s="4">
        <v>14</v>
      </c>
      <c r="F12" s="4" t="str">
        <f t="shared" si="0"/>
        <v>Medium</v>
      </c>
      <c r="G12" s="4" t="s">
        <v>22</v>
      </c>
      <c r="H12" s="4" t="s">
        <v>48</v>
      </c>
    </row>
    <row r="13" spans="1:8" ht="47.4" customHeight="1" x14ac:dyDescent="0.25">
      <c r="A13" s="4" t="s">
        <v>49</v>
      </c>
      <c r="B13" s="4" t="s">
        <v>45</v>
      </c>
      <c r="C13" s="4" t="s">
        <v>46</v>
      </c>
      <c r="D13" s="4" t="s">
        <v>50</v>
      </c>
      <c r="E13" s="4">
        <v>110</v>
      </c>
      <c r="F13" s="4" t="str">
        <f t="shared" si="0"/>
        <v>Healthy</v>
      </c>
      <c r="G13" s="4" t="s">
        <v>12</v>
      </c>
      <c r="H13" s="4" t="s">
        <v>51</v>
      </c>
    </row>
    <row r="14" spans="1:8" ht="45.6" customHeight="1" x14ac:dyDescent="0.25">
      <c r="A14" s="4" t="s">
        <v>52</v>
      </c>
      <c r="B14" s="4" t="s">
        <v>45</v>
      </c>
      <c r="C14" s="4" t="s">
        <v>53</v>
      </c>
      <c r="D14" s="4" t="s">
        <v>54</v>
      </c>
      <c r="E14" s="4">
        <v>120</v>
      </c>
      <c r="F14" s="4" t="str">
        <f t="shared" si="0"/>
        <v>Healthy</v>
      </c>
      <c r="G14" s="4" t="s">
        <v>12</v>
      </c>
      <c r="H14" s="4" t="s">
        <v>55</v>
      </c>
    </row>
    <row r="15" spans="1:8" ht="46.2" customHeight="1" x14ac:dyDescent="0.25">
      <c r="A15" s="4" t="s">
        <v>56</v>
      </c>
      <c r="B15" s="4" t="s">
        <v>45</v>
      </c>
      <c r="C15" s="4" t="s">
        <v>31</v>
      </c>
      <c r="D15" s="4" t="s">
        <v>57</v>
      </c>
      <c r="E15" s="4">
        <v>20</v>
      </c>
      <c r="F15" s="4" t="str">
        <f t="shared" si="0"/>
        <v>Medium</v>
      </c>
      <c r="G15" s="4" t="s">
        <v>22</v>
      </c>
      <c r="H15" s="4" t="s">
        <v>58</v>
      </c>
    </row>
    <row r="16" spans="1:8" ht="44.4" customHeight="1" x14ac:dyDescent="0.25">
      <c r="A16" s="4" t="s">
        <v>59</v>
      </c>
      <c r="B16" s="4" t="s">
        <v>45</v>
      </c>
      <c r="C16" s="4" t="s">
        <v>60</v>
      </c>
      <c r="D16" s="4" t="s">
        <v>61</v>
      </c>
      <c r="E16" s="4">
        <v>30</v>
      </c>
      <c r="F16" s="4" t="str">
        <f t="shared" si="0"/>
        <v>Medium</v>
      </c>
      <c r="G16" s="4" t="s">
        <v>22</v>
      </c>
      <c r="H16" s="4" t="s">
        <v>62</v>
      </c>
    </row>
    <row r="17" spans="1:8" ht="42.6" customHeight="1" x14ac:dyDescent="0.25">
      <c r="A17" s="4" t="s">
        <v>63</v>
      </c>
      <c r="B17" s="4" t="s">
        <v>45</v>
      </c>
      <c r="C17" s="4" t="s">
        <v>31</v>
      </c>
      <c r="D17" s="4" t="s">
        <v>64</v>
      </c>
      <c r="E17" s="4">
        <v>55</v>
      </c>
      <c r="F17" s="4" t="str">
        <f t="shared" si="0"/>
        <v>Healthy</v>
      </c>
      <c r="G17" s="4" t="s">
        <v>12</v>
      </c>
      <c r="H17" s="4" t="s">
        <v>65</v>
      </c>
    </row>
    <row r="18" spans="1:8" ht="53.4" customHeight="1" x14ac:dyDescent="0.25">
      <c r="A18" s="4" t="s">
        <v>66</v>
      </c>
      <c r="B18" s="4" t="s">
        <v>45</v>
      </c>
      <c r="C18" s="4" t="s">
        <v>67</v>
      </c>
      <c r="D18" s="4" t="s">
        <v>68</v>
      </c>
      <c r="E18" s="4">
        <v>23</v>
      </c>
      <c r="F18" s="4" t="str">
        <f t="shared" si="0"/>
        <v>Medium</v>
      </c>
      <c r="G18" s="4" t="s">
        <v>22</v>
      </c>
      <c r="H18" s="4" t="s">
        <v>69</v>
      </c>
    </row>
    <row r="19" spans="1:8" ht="49.8" customHeight="1" x14ac:dyDescent="0.25">
      <c r="A19" s="4" t="s">
        <v>70</v>
      </c>
      <c r="B19" s="4" t="s">
        <v>71</v>
      </c>
      <c r="C19" s="4" t="s">
        <v>38</v>
      </c>
      <c r="D19" s="4" t="s">
        <v>72</v>
      </c>
      <c r="E19" s="4">
        <v>167</v>
      </c>
      <c r="F19" s="4" t="str">
        <f t="shared" si="0"/>
        <v>Healthy</v>
      </c>
      <c r="G19" s="4" t="s">
        <v>12</v>
      </c>
      <c r="H19" s="4" t="s">
        <v>73</v>
      </c>
    </row>
    <row r="20" spans="1:8" ht="48" customHeight="1" x14ac:dyDescent="0.25">
      <c r="A20" s="4" t="s">
        <v>74</v>
      </c>
      <c r="B20" s="4" t="s">
        <v>71</v>
      </c>
      <c r="C20" s="4" t="s">
        <v>38</v>
      </c>
      <c r="D20" s="4" t="s">
        <v>75</v>
      </c>
      <c r="E20" s="4">
        <v>45</v>
      </c>
      <c r="F20" s="4" t="str">
        <f t="shared" si="0"/>
        <v>Healthy</v>
      </c>
      <c r="G20" s="4" t="s">
        <v>12</v>
      </c>
      <c r="H20" s="4" t="s">
        <v>76</v>
      </c>
    </row>
    <row r="21" spans="1:8" ht="43.2" customHeight="1" x14ac:dyDescent="0.25">
      <c r="A21" s="4" t="s">
        <v>77</v>
      </c>
      <c r="B21" s="4" t="s">
        <v>71</v>
      </c>
      <c r="C21" s="4" t="s">
        <v>78</v>
      </c>
      <c r="D21" s="4" t="s">
        <v>79</v>
      </c>
      <c r="E21" s="4">
        <v>80</v>
      </c>
      <c r="F21" s="4" t="str">
        <f t="shared" si="0"/>
        <v>Healthy</v>
      </c>
      <c r="G21" s="4" t="s">
        <v>12</v>
      </c>
      <c r="H21" s="4" t="s">
        <v>80</v>
      </c>
    </row>
    <row r="22" spans="1:8" ht="48" customHeight="1" x14ac:dyDescent="0.25">
      <c r="A22" s="4" t="s">
        <v>81</v>
      </c>
      <c r="B22" s="4" t="s">
        <v>71</v>
      </c>
      <c r="C22" s="4" t="s">
        <v>82</v>
      </c>
      <c r="D22" s="4" t="s">
        <v>83</v>
      </c>
      <c r="E22" s="4">
        <v>15</v>
      </c>
      <c r="F22" s="4" t="str">
        <f t="shared" si="0"/>
        <v>Medium</v>
      </c>
      <c r="G22" s="4" t="s">
        <v>22</v>
      </c>
      <c r="H22" s="4" t="s">
        <v>84</v>
      </c>
    </row>
    <row r="23" spans="1:8" ht="50.4" customHeight="1" x14ac:dyDescent="0.25">
      <c r="A23" s="4" t="s">
        <v>85</v>
      </c>
      <c r="B23" s="4" t="s">
        <v>71</v>
      </c>
      <c r="C23" s="4" t="s">
        <v>86</v>
      </c>
      <c r="D23" s="4" t="s">
        <v>87</v>
      </c>
      <c r="E23" s="4">
        <v>9</v>
      </c>
      <c r="F23" s="4" t="str">
        <f t="shared" si="0"/>
        <v>Critical</v>
      </c>
      <c r="G23" s="4" t="s">
        <v>22</v>
      </c>
      <c r="H23" s="4" t="s">
        <v>88</v>
      </c>
    </row>
    <row r="24" spans="1:8" ht="54" customHeight="1" x14ac:dyDescent="0.25">
      <c r="A24" s="4" t="s">
        <v>89</v>
      </c>
      <c r="B24" s="4" t="s">
        <v>71</v>
      </c>
      <c r="C24" s="4" t="s">
        <v>82</v>
      </c>
      <c r="D24" s="4" t="s">
        <v>90</v>
      </c>
      <c r="E24" s="4">
        <v>9</v>
      </c>
      <c r="F24" s="4" t="str">
        <f t="shared" si="0"/>
        <v>Critical</v>
      </c>
      <c r="G24" s="4" t="s">
        <v>22</v>
      </c>
      <c r="H24" s="4" t="s">
        <v>91</v>
      </c>
    </row>
    <row r="25" spans="1:8" ht="66" customHeight="1" x14ac:dyDescent="0.25">
      <c r="A25" s="4" t="s">
        <v>92</v>
      </c>
      <c r="B25" s="4" t="s">
        <v>93</v>
      </c>
      <c r="C25" s="4" t="s">
        <v>94</v>
      </c>
      <c r="D25" s="4" t="s">
        <v>95</v>
      </c>
      <c r="E25" s="4">
        <v>7</v>
      </c>
      <c r="F25" s="4" t="str">
        <f t="shared" si="0"/>
        <v>Critical</v>
      </c>
      <c r="G25" s="4" t="s">
        <v>12</v>
      </c>
      <c r="H25" s="4" t="s">
        <v>96</v>
      </c>
    </row>
    <row r="26" spans="1:8" ht="45" x14ac:dyDescent="0.25">
      <c r="A26" s="4" t="s">
        <v>97</v>
      </c>
      <c r="B26" s="4" t="s">
        <v>98</v>
      </c>
      <c r="C26" s="4" t="s">
        <v>99</v>
      </c>
      <c r="D26" s="4" t="s">
        <v>100</v>
      </c>
      <c r="E26" s="4">
        <v>23</v>
      </c>
      <c r="F26" s="4" t="str">
        <f t="shared" si="0"/>
        <v>Medium</v>
      </c>
      <c r="G26" s="4" t="s">
        <v>22</v>
      </c>
      <c r="H26" s="4" t="s">
        <v>101</v>
      </c>
    </row>
    <row r="27" spans="1:8" ht="52.2" customHeight="1" x14ac:dyDescent="0.25">
      <c r="A27" s="4" t="s">
        <v>102</v>
      </c>
      <c r="B27" s="4" t="s">
        <v>103</v>
      </c>
      <c r="C27" s="4" t="s">
        <v>104</v>
      </c>
      <c r="D27" s="4" t="s">
        <v>105</v>
      </c>
      <c r="E27" s="4">
        <v>10</v>
      </c>
      <c r="F27" s="4" t="str">
        <f t="shared" si="0"/>
        <v>Critical</v>
      </c>
      <c r="G27" s="4" t="s">
        <v>22</v>
      </c>
      <c r="H27" s="4" t="s">
        <v>106</v>
      </c>
    </row>
    <row r="28" spans="1:8" ht="56.4" customHeight="1" x14ac:dyDescent="0.25">
      <c r="A28" s="4" t="s">
        <v>107</v>
      </c>
      <c r="B28" s="4" t="s">
        <v>103</v>
      </c>
      <c r="C28" s="4" t="s">
        <v>104</v>
      </c>
      <c r="D28" s="4" t="s">
        <v>108</v>
      </c>
      <c r="E28" s="4">
        <v>8</v>
      </c>
      <c r="F28" s="4" t="str">
        <f t="shared" si="0"/>
        <v>Critical</v>
      </c>
      <c r="G28" s="4" t="s">
        <v>22</v>
      </c>
      <c r="H28" s="4" t="s">
        <v>109</v>
      </c>
    </row>
    <row r="29" spans="1:8" ht="45" x14ac:dyDescent="0.25">
      <c r="A29" s="4" t="s">
        <v>110</v>
      </c>
      <c r="B29" s="4" t="s">
        <v>103</v>
      </c>
      <c r="C29" s="4" t="s">
        <v>104</v>
      </c>
      <c r="D29" s="4" t="s">
        <v>111</v>
      </c>
      <c r="E29" s="4">
        <v>15</v>
      </c>
      <c r="F29" s="4" t="str">
        <f t="shared" si="0"/>
        <v>Medium</v>
      </c>
      <c r="G29" s="4" t="s">
        <v>22</v>
      </c>
      <c r="H29" s="4" t="s">
        <v>112</v>
      </c>
    </row>
    <row r="30" spans="1:8" ht="51" customHeight="1" x14ac:dyDescent="0.25">
      <c r="A30" s="4" t="s">
        <v>113</v>
      </c>
      <c r="B30" s="4" t="s">
        <v>114</v>
      </c>
      <c r="C30" s="4" t="s">
        <v>115</v>
      </c>
      <c r="D30" s="4" t="s">
        <v>116</v>
      </c>
      <c r="E30" s="4">
        <v>200</v>
      </c>
      <c r="F30" s="4" t="str">
        <f t="shared" si="0"/>
        <v>Healthy</v>
      </c>
      <c r="G30" s="4" t="s">
        <v>12</v>
      </c>
      <c r="H30" s="4" t="s">
        <v>117</v>
      </c>
    </row>
    <row r="31" spans="1:8" ht="43.2" customHeight="1" x14ac:dyDescent="0.25">
      <c r="A31" s="4" t="s">
        <v>118</v>
      </c>
      <c r="B31" s="4" t="s">
        <v>114</v>
      </c>
      <c r="C31" s="4" t="s">
        <v>115</v>
      </c>
      <c r="D31" s="4" t="s">
        <v>119</v>
      </c>
      <c r="E31" s="4">
        <v>40</v>
      </c>
      <c r="F31" s="4" t="str">
        <f t="shared" si="0"/>
        <v>Healthy</v>
      </c>
      <c r="G31" s="4" t="s">
        <v>22</v>
      </c>
      <c r="H31" s="4" t="s">
        <v>120</v>
      </c>
    </row>
    <row r="32" spans="1:8" ht="46.8" customHeight="1" x14ac:dyDescent="0.25">
      <c r="A32" s="4" t="s">
        <v>121</v>
      </c>
      <c r="B32" s="4" t="s">
        <v>114</v>
      </c>
      <c r="C32" s="4" t="s">
        <v>122</v>
      </c>
      <c r="D32" s="4" t="s">
        <v>123</v>
      </c>
      <c r="E32" s="4">
        <v>200</v>
      </c>
      <c r="F32" s="4" t="str">
        <f t="shared" si="0"/>
        <v>Healthy</v>
      </c>
      <c r="G32" s="4" t="s">
        <v>12</v>
      </c>
      <c r="H32" s="4" t="s">
        <v>124</v>
      </c>
    </row>
    <row r="33" spans="1:8" ht="44.4" customHeight="1" x14ac:dyDescent="0.25">
      <c r="A33" s="4" t="s">
        <v>125</v>
      </c>
      <c r="B33" s="4" t="s">
        <v>114</v>
      </c>
      <c r="C33" s="4" t="s">
        <v>115</v>
      </c>
      <c r="D33" s="4" t="s">
        <v>126</v>
      </c>
      <c r="E33" s="4">
        <v>100</v>
      </c>
      <c r="F33" s="4" t="str">
        <f t="shared" si="0"/>
        <v>Healthy</v>
      </c>
      <c r="G33" s="4" t="s">
        <v>12</v>
      </c>
      <c r="H33" s="4" t="s">
        <v>117</v>
      </c>
    </row>
    <row r="34" spans="1:8" ht="44.4" customHeight="1" x14ac:dyDescent="0.25">
      <c r="A34" s="4" t="s">
        <v>127</v>
      </c>
      <c r="B34" s="4" t="s">
        <v>114</v>
      </c>
      <c r="C34" s="4" t="s">
        <v>128</v>
      </c>
      <c r="D34" s="4" t="s">
        <v>129</v>
      </c>
      <c r="E34" s="4">
        <v>14</v>
      </c>
      <c r="F34" s="4" t="str">
        <f t="shared" si="0"/>
        <v>Medium</v>
      </c>
      <c r="G34" s="4" t="s">
        <v>22</v>
      </c>
      <c r="H34" s="4" t="s">
        <v>130</v>
      </c>
    </row>
    <row r="35" spans="1:8" ht="54" customHeight="1" x14ac:dyDescent="0.25">
      <c r="A35" s="4" t="s">
        <v>131</v>
      </c>
      <c r="B35" s="4" t="s">
        <v>114</v>
      </c>
      <c r="C35" s="4" t="s">
        <v>132</v>
      </c>
      <c r="D35" s="4" t="s">
        <v>133</v>
      </c>
      <c r="E35" s="4">
        <v>52</v>
      </c>
      <c r="F35" s="4" t="str">
        <f t="shared" si="0"/>
        <v>Healthy</v>
      </c>
      <c r="G35" s="4" t="s">
        <v>22</v>
      </c>
      <c r="H35" s="4" t="s">
        <v>134</v>
      </c>
    </row>
    <row r="36" spans="1:8" ht="51" customHeight="1" x14ac:dyDescent="0.25">
      <c r="A36" s="4" t="s">
        <v>135</v>
      </c>
      <c r="B36" s="4" t="s">
        <v>114</v>
      </c>
      <c r="C36" s="4" t="s">
        <v>136</v>
      </c>
      <c r="D36" s="4" t="s">
        <v>137</v>
      </c>
      <c r="E36" s="4">
        <v>3</v>
      </c>
      <c r="F36" s="4" t="str">
        <f t="shared" si="0"/>
        <v>Critical</v>
      </c>
      <c r="G36" s="4" t="s">
        <v>12</v>
      </c>
      <c r="H36" s="4" t="s">
        <v>138</v>
      </c>
    </row>
    <row r="37" spans="1:8" ht="46.8" customHeight="1" x14ac:dyDescent="0.25">
      <c r="A37" s="4" t="s">
        <v>139</v>
      </c>
      <c r="B37" s="4" t="s">
        <v>114</v>
      </c>
      <c r="C37" s="4" t="s">
        <v>140</v>
      </c>
      <c r="D37" s="4" t="s">
        <v>141</v>
      </c>
      <c r="E37" s="4">
        <v>33</v>
      </c>
      <c r="F37" s="4" t="str">
        <f t="shared" si="0"/>
        <v>Healthy</v>
      </c>
      <c r="G37" s="4" t="s">
        <v>22</v>
      </c>
      <c r="H37" s="4" t="s">
        <v>142</v>
      </c>
    </row>
    <row r="38" spans="1:8" ht="72" customHeight="1" x14ac:dyDescent="0.25">
      <c r="A38" s="4" t="s">
        <v>143</v>
      </c>
      <c r="B38" s="4" t="s">
        <v>114</v>
      </c>
      <c r="C38" s="4" t="s">
        <v>140</v>
      </c>
      <c r="D38" s="4" t="s">
        <v>144</v>
      </c>
      <c r="E38" s="4">
        <v>130</v>
      </c>
      <c r="F38" s="4" t="str">
        <f t="shared" si="0"/>
        <v>Healthy</v>
      </c>
      <c r="G38" s="4" t="s">
        <v>12</v>
      </c>
      <c r="H38" s="4" t="s">
        <v>145</v>
      </c>
    </row>
    <row r="39" spans="1:8" ht="52.8" customHeight="1" x14ac:dyDescent="0.25">
      <c r="A39" s="4" t="s">
        <v>146</v>
      </c>
      <c r="B39" s="4" t="s">
        <v>114</v>
      </c>
      <c r="C39" s="4" t="s">
        <v>140</v>
      </c>
      <c r="D39" s="4" t="s">
        <v>147</v>
      </c>
      <c r="E39" s="4">
        <v>8</v>
      </c>
      <c r="F39" s="4" t="str">
        <f t="shared" si="0"/>
        <v>Critical</v>
      </c>
      <c r="G39" s="4" t="s">
        <v>22</v>
      </c>
      <c r="H39" s="4" t="s">
        <v>148</v>
      </c>
    </row>
    <row r="40" spans="1:8" ht="50.4" customHeight="1" x14ac:dyDescent="0.25">
      <c r="A40" s="4" t="s">
        <v>149</v>
      </c>
      <c r="B40" s="4" t="s">
        <v>114</v>
      </c>
      <c r="C40" s="4" t="s">
        <v>150</v>
      </c>
      <c r="D40" s="4" t="s">
        <v>151</v>
      </c>
      <c r="E40" s="4">
        <v>22</v>
      </c>
      <c r="F40" s="4" t="str">
        <f t="shared" si="0"/>
        <v>Medium</v>
      </c>
      <c r="G40" s="4" t="s">
        <v>22</v>
      </c>
      <c r="H40" s="4" t="s">
        <v>152</v>
      </c>
    </row>
    <row r="41" spans="1:8" ht="52.8" customHeight="1" x14ac:dyDescent="0.25">
      <c r="A41" s="4" t="s">
        <v>153</v>
      </c>
      <c r="B41" s="4" t="s">
        <v>114</v>
      </c>
      <c r="C41" s="4" t="s">
        <v>154</v>
      </c>
      <c r="D41" s="4" t="s">
        <v>155</v>
      </c>
      <c r="E41" s="4">
        <v>55</v>
      </c>
      <c r="F41" s="4" t="str">
        <f t="shared" si="0"/>
        <v>Healthy</v>
      </c>
      <c r="G41" s="4" t="s">
        <v>22</v>
      </c>
      <c r="H41" s="4" t="s">
        <v>156</v>
      </c>
    </row>
  </sheetData>
  <phoneticPr fontId="9" type="noConversion"/>
  <conditionalFormatting sqref="F1:F1048576">
    <cfRule type="containsText" dxfId="2" priority="1" operator="containsText" text="Healthy">
      <formula>NOT(ISERROR(SEARCH("Healthy",F1)))</formula>
    </cfRule>
    <cfRule type="containsText" dxfId="1" priority="2" operator="containsText" text="Medium">
      <formula>NOT(ISERROR(SEARCH("Medium",F1)))</formula>
    </cfRule>
    <cfRule type="containsText" dxfId="0" priority="3" operator="containsText" text="Critical">
      <formula>NOT(ISERROR(SEARCH("Critical",F1)))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56BC-4CF3-4414-84D2-16CE285C34F4}">
  <dimension ref="A1:H43"/>
  <sheetViews>
    <sheetView zoomScale="70" zoomScaleNormal="70" workbookViewId="0">
      <selection activeCell="D39" sqref="D39"/>
    </sheetView>
  </sheetViews>
  <sheetFormatPr defaultRowHeight="14.4" x14ac:dyDescent="0.3"/>
  <cols>
    <col min="1" max="1" width="39.21875" customWidth="1"/>
    <col min="2" max="2" width="19.5546875" customWidth="1"/>
    <col min="3" max="3" width="15.77734375" customWidth="1"/>
    <col min="4" max="4" width="29" bestFit="1" customWidth="1"/>
  </cols>
  <sheetData>
    <row r="1" spans="1:4" ht="24.6" x14ac:dyDescent="0.4">
      <c r="A1" s="41" t="s">
        <v>157</v>
      </c>
      <c r="B1" s="42"/>
      <c r="C1" s="42"/>
      <c r="D1" s="42"/>
    </row>
    <row r="2" spans="1:4" ht="15" thickBot="1" x14ac:dyDescent="0.35"/>
    <row r="3" spans="1:4" ht="15" x14ac:dyDescent="0.3">
      <c r="A3" s="81" t="s">
        <v>158</v>
      </c>
      <c r="B3" s="82" t="s">
        <v>159</v>
      </c>
    </row>
    <row r="4" spans="1:4" ht="17.399999999999999" customHeight="1" x14ac:dyDescent="0.3">
      <c r="A4" s="83" t="s">
        <v>160</v>
      </c>
      <c r="B4" s="84">
        <f>COUNTA('Raw Inventory Data'!A:A)-1</f>
        <v>40</v>
      </c>
    </row>
    <row r="5" spans="1:4" ht="15.6" x14ac:dyDescent="0.3">
      <c r="A5" s="83" t="s">
        <v>161</v>
      </c>
      <c r="B5" s="84">
        <f>COUNTIF('Raw Inventory Data'!F:F,"Critical")</f>
        <v>11</v>
      </c>
      <c r="D5" s="8" t="s">
        <v>178</v>
      </c>
    </row>
    <row r="6" spans="1:4" ht="15.6" x14ac:dyDescent="0.3">
      <c r="A6" s="83" t="s">
        <v>162</v>
      </c>
      <c r="B6" s="84">
        <f>COUNTIF('Raw Inventory Data'!F:F,"Medium")</f>
        <v>13</v>
      </c>
    </row>
    <row r="7" spans="1:4" ht="16.2" thickBot="1" x14ac:dyDescent="0.35">
      <c r="A7" s="85" t="s">
        <v>163</v>
      </c>
      <c r="B7" s="86">
        <f>COUNTIF('Raw Inventory Data'!F:F,"Healthy")</f>
        <v>16</v>
      </c>
    </row>
    <row r="11" spans="1:4" ht="24.6" x14ac:dyDescent="0.4">
      <c r="A11" s="41" t="s">
        <v>164</v>
      </c>
      <c r="B11" s="41"/>
      <c r="C11" s="41"/>
    </row>
    <row r="12" spans="1:4" ht="15" thickBot="1" x14ac:dyDescent="0.35"/>
    <row r="13" spans="1:4" ht="15" x14ac:dyDescent="0.3">
      <c r="A13" s="81" t="s">
        <v>165</v>
      </c>
      <c r="B13" s="82" t="s">
        <v>166</v>
      </c>
    </row>
    <row r="14" spans="1:4" ht="30.6" x14ac:dyDescent="0.3">
      <c r="A14" s="83" t="s">
        <v>167</v>
      </c>
      <c r="B14" s="84" t="s">
        <v>168</v>
      </c>
    </row>
    <row r="15" spans="1:4" ht="30.6" x14ac:dyDescent="0.3">
      <c r="A15" s="83" t="s">
        <v>22</v>
      </c>
      <c r="B15" s="84" t="s">
        <v>169</v>
      </c>
    </row>
    <row r="16" spans="1:4" ht="31.2" thickBot="1" x14ac:dyDescent="0.35">
      <c r="A16" s="85" t="s">
        <v>170</v>
      </c>
      <c r="B16" s="86" t="s">
        <v>171</v>
      </c>
    </row>
    <row r="19" spans="1:8" ht="24.6" x14ac:dyDescent="0.4">
      <c r="A19" s="41" t="s">
        <v>172</v>
      </c>
      <c r="B19" s="42"/>
    </row>
    <row r="21" spans="1:8" ht="15.6" x14ac:dyDescent="0.3">
      <c r="A21" s="5" t="s">
        <v>173</v>
      </c>
      <c r="B21" s="3"/>
      <c r="C21" s="3"/>
      <c r="D21" s="3"/>
      <c r="E21" s="3"/>
      <c r="F21" s="3"/>
      <c r="G21" s="3"/>
      <c r="H21" s="3"/>
    </row>
    <row r="22" spans="1:8" ht="15.6" x14ac:dyDescent="0.3">
      <c r="A22" s="5"/>
      <c r="B22" s="3"/>
      <c r="C22" s="3"/>
      <c r="D22" s="3"/>
      <c r="E22" s="3"/>
      <c r="F22" s="3"/>
      <c r="G22" s="3"/>
      <c r="H22" s="3"/>
    </row>
    <row r="23" spans="1:8" ht="15.6" x14ac:dyDescent="0.3">
      <c r="A23" s="5" t="s">
        <v>174</v>
      </c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ht="15.6" x14ac:dyDescent="0.3">
      <c r="A25" s="5" t="s">
        <v>175</v>
      </c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ht="15.6" x14ac:dyDescent="0.3">
      <c r="A27" s="5" t="s">
        <v>176</v>
      </c>
      <c r="B27" s="3"/>
      <c r="C27" s="3"/>
      <c r="D27" s="3"/>
      <c r="E27" s="3"/>
      <c r="F27" s="3"/>
      <c r="G27" s="3"/>
      <c r="H27" s="3"/>
    </row>
    <row r="28" spans="1:8" ht="15.6" x14ac:dyDescent="0.3">
      <c r="A28" s="5"/>
      <c r="B28" s="3"/>
      <c r="C28" s="3"/>
      <c r="D28" s="3"/>
      <c r="E28" s="3"/>
      <c r="F28" s="3"/>
      <c r="G28" s="3"/>
      <c r="H28" s="3"/>
    </row>
    <row r="29" spans="1:8" ht="15.6" x14ac:dyDescent="0.3">
      <c r="A29" s="5"/>
      <c r="B29" s="3"/>
      <c r="C29" s="3"/>
      <c r="D29" s="3"/>
      <c r="E29" s="3"/>
      <c r="F29" s="3"/>
      <c r="G29" s="3"/>
      <c r="H29" s="3"/>
    </row>
    <row r="30" spans="1:8" ht="24.6" x14ac:dyDescent="0.4">
      <c r="A30" s="6" t="s">
        <v>177</v>
      </c>
      <c r="B30" s="3"/>
      <c r="C30" s="3"/>
      <c r="D30" s="3"/>
      <c r="E30" s="3"/>
      <c r="F30" s="3"/>
      <c r="G30" s="3"/>
      <c r="H30" s="3"/>
    </row>
    <row r="31" spans="1:8" ht="15" thickBot="1" x14ac:dyDescent="0.35">
      <c r="A31" s="3"/>
      <c r="B31" s="3"/>
      <c r="C31" s="3"/>
      <c r="D31" s="3"/>
      <c r="E31" s="3"/>
      <c r="F31" s="3"/>
      <c r="G31" s="3"/>
      <c r="H31" s="3"/>
    </row>
    <row r="32" spans="1:8" ht="15.6" x14ac:dyDescent="0.3">
      <c r="A32" s="87" t="s">
        <v>3</v>
      </c>
      <c r="B32" s="88" t="s">
        <v>4</v>
      </c>
      <c r="C32" s="89" t="s">
        <v>165</v>
      </c>
    </row>
    <row r="33" spans="1:3" ht="15.6" x14ac:dyDescent="0.3">
      <c r="A33" s="90" t="s">
        <v>11</v>
      </c>
      <c r="B33" s="7">
        <v>3</v>
      </c>
      <c r="C33" s="91" t="s">
        <v>167</v>
      </c>
    </row>
    <row r="34" spans="1:3" ht="15.6" x14ac:dyDescent="0.3">
      <c r="A34" s="90" t="s">
        <v>15</v>
      </c>
      <c r="B34" s="7">
        <v>5</v>
      </c>
      <c r="C34" s="91" t="s">
        <v>167</v>
      </c>
    </row>
    <row r="35" spans="1:3" ht="15.6" x14ac:dyDescent="0.3">
      <c r="A35" s="90" t="s">
        <v>18</v>
      </c>
      <c r="B35" s="7">
        <v>3</v>
      </c>
      <c r="C35" s="91" t="s">
        <v>167</v>
      </c>
    </row>
    <row r="36" spans="1:3" ht="15.6" x14ac:dyDescent="0.3">
      <c r="A36" s="90" t="s">
        <v>42</v>
      </c>
      <c r="B36" s="7">
        <v>3</v>
      </c>
      <c r="C36" s="91" t="s">
        <v>167</v>
      </c>
    </row>
    <row r="37" spans="1:3" ht="15.6" x14ac:dyDescent="0.3">
      <c r="A37" s="90" t="s">
        <v>87</v>
      </c>
      <c r="B37" s="7">
        <v>9</v>
      </c>
      <c r="C37" s="91" t="s">
        <v>167</v>
      </c>
    </row>
    <row r="38" spans="1:3" ht="15.6" x14ac:dyDescent="0.3">
      <c r="A38" s="90" t="s">
        <v>90</v>
      </c>
      <c r="B38" s="7">
        <v>9</v>
      </c>
      <c r="C38" s="91" t="s">
        <v>167</v>
      </c>
    </row>
    <row r="39" spans="1:3" ht="15.6" x14ac:dyDescent="0.3">
      <c r="A39" s="90" t="s">
        <v>95</v>
      </c>
      <c r="B39" s="7">
        <v>7</v>
      </c>
      <c r="C39" s="91" t="s">
        <v>167</v>
      </c>
    </row>
    <row r="40" spans="1:3" ht="15.6" x14ac:dyDescent="0.3">
      <c r="A40" s="90" t="s">
        <v>105</v>
      </c>
      <c r="B40" s="7">
        <v>10</v>
      </c>
      <c r="C40" s="91" t="s">
        <v>167</v>
      </c>
    </row>
    <row r="41" spans="1:3" ht="15.6" x14ac:dyDescent="0.3">
      <c r="A41" s="90" t="s">
        <v>108</v>
      </c>
      <c r="B41" s="7">
        <v>8</v>
      </c>
      <c r="C41" s="91" t="s">
        <v>167</v>
      </c>
    </row>
    <row r="42" spans="1:3" ht="15.6" x14ac:dyDescent="0.3">
      <c r="A42" s="90" t="s">
        <v>137</v>
      </c>
      <c r="B42" s="7">
        <v>3</v>
      </c>
      <c r="C42" s="91" t="s">
        <v>167</v>
      </c>
    </row>
    <row r="43" spans="1:3" ht="16.2" thickBot="1" x14ac:dyDescent="0.35">
      <c r="A43" s="92" t="s">
        <v>147</v>
      </c>
      <c r="B43" s="93">
        <v>8</v>
      </c>
      <c r="C43" s="94" t="s">
        <v>167</v>
      </c>
    </row>
  </sheetData>
  <mergeCells count="3">
    <mergeCell ref="A1:D1"/>
    <mergeCell ref="A11:C11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93EE-618A-415E-9895-4E321C778CFF}">
  <dimension ref="A1:L27"/>
  <sheetViews>
    <sheetView zoomScale="60" zoomScaleNormal="60" workbookViewId="0">
      <selection activeCell="J15" sqref="J15"/>
    </sheetView>
  </sheetViews>
  <sheetFormatPr defaultRowHeight="14.4" x14ac:dyDescent="0.3"/>
  <cols>
    <col min="1" max="1" width="14.77734375" customWidth="1"/>
    <col min="2" max="2" width="14.6640625" customWidth="1"/>
    <col min="3" max="3" width="24.6640625" customWidth="1"/>
    <col min="4" max="4" width="10.77734375" customWidth="1"/>
    <col min="5" max="5" width="38.33203125" customWidth="1"/>
    <col min="6" max="6" width="15.77734375" customWidth="1"/>
    <col min="7" max="7" width="41.77734375" customWidth="1"/>
    <col min="8" max="8" width="9.33203125" customWidth="1"/>
    <col min="9" max="9" width="20.77734375" customWidth="1"/>
    <col min="10" max="10" width="13.44140625" customWidth="1"/>
    <col min="11" max="11" width="26.109375" customWidth="1"/>
    <col min="12" max="12" width="26.77734375" customWidth="1"/>
  </cols>
  <sheetData>
    <row r="1" spans="1:12" x14ac:dyDescent="0.3">
      <c r="A1" s="51" t="s">
        <v>179</v>
      </c>
      <c r="B1" s="52"/>
      <c r="C1" s="52"/>
      <c r="D1" s="52"/>
      <c r="E1" s="52"/>
      <c r="F1" s="52"/>
      <c r="G1" s="52"/>
      <c r="H1" s="52"/>
    </row>
    <row r="2" spans="1:12" x14ac:dyDescent="0.3">
      <c r="A2" s="52"/>
      <c r="B2" s="52"/>
      <c r="C2" s="52"/>
      <c r="D2" s="52"/>
      <c r="E2" s="52"/>
      <c r="F2" s="52"/>
      <c r="G2" s="52"/>
      <c r="H2" s="52"/>
    </row>
    <row r="3" spans="1:12" ht="15" thickBot="1" x14ac:dyDescent="0.35"/>
    <row r="4" spans="1:12" x14ac:dyDescent="0.3">
      <c r="A4" s="53" t="s">
        <v>180</v>
      </c>
      <c r="B4" s="54"/>
      <c r="D4" s="59" t="s">
        <v>181</v>
      </c>
      <c r="E4" s="60"/>
      <c r="G4" s="65" t="s">
        <v>182</v>
      </c>
      <c r="H4" s="66"/>
      <c r="K4" s="43" t="s">
        <v>183</v>
      </c>
      <c r="L4" s="44"/>
    </row>
    <row r="5" spans="1:12" x14ac:dyDescent="0.3">
      <c r="A5" s="55"/>
      <c r="B5" s="56"/>
      <c r="D5" s="61"/>
      <c r="E5" s="62"/>
      <c r="G5" s="67"/>
      <c r="H5" s="68"/>
      <c r="K5" s="45"/>
      <c r="L5" s="46"/>
    </row>
    <row r="6" spans="1:12" ht="15" thickBot="1" x14ac:dyDescent="0.35">
      <c r="A6" s="57"/>
      <c r="B6" s="58"/>
      <c r="D6" s="63"/>
      <c r="E6" s="64"/>
      <c r="G6" s="69"/>
      <c r="H6" s="70"/>
      <c r="K6" s="47"/>
      <c r="L6" s="48"/>
    </row>
    <row r="10" spans="1:12" ht="16.2" thickBot="1" x14ac:dyDescent="0.35">
      <c r="A10" s="49" t="s">
        <v>192</v>
      </c>
      <c r="B10" s="50"/>
      <c r="C10" s="50"/>
      <c r="E10" s="9" t="s">
        <v>193</v>
      </c>
      <c r="I10" s="49" t="s">
        <v>225</v>
      </c>
      <c r="J10" s="49"/>
    </row>
    <row r="11" spans="1:12" ht="30.6" x14ac:dyDescent="0.3">
      <c r="A11" s="29" t="s">
        <v>1</v>
      </c>
      <c r="B11" s="30" t="s">
        <v>184</v>
      </c>
      <c r="C11" s="31" t="s">
        <v>185</v>
      </c>
      <c r="E11" s="21" t="s">
        <v>3</v>
      </c>
      <c r="F11" s="22" t="s">
        <v>4</v>
      </c>
      <c r="G11" s="23" t="s">
        <v>194</v>
      </c>
      <c r="I11" s="13" t="s">
        <v>3</v>
      </c>
      <c r="J11" s="14" t="s">
        <v>223</v>
      </c>
      <c r="K11" s="15" t="s">
        <v>185</v>
      </c>
    </row>
    <row r="12" spans="1:12" ht="30" customHeight="1" x14ac:dyDescent="0.3">
      <c r="A12" s="32" t="s">
        <v>9</v>
      </c>
      <c r="B12" s="12">
        <v>10</v>
      </c>
      <c r="C12" s="33" t="s">
        <v>186</v>
      </c>
      <c r="E12" s="24" t="s">
        <v>11</v>
      </c>
      <c r="F12" s="10">
        <v>3</v>
      </c>
      <c r="G12" s="25" t="s">
        <v>195</v>
      </c>
      <c r="I12" s="16" t="s">
        <v>32</v>
      </c>
      <c r="J12" s="11">
        <v>77</v>
      </c>
      <c r="K12" s="17" t="s">
        <v>206</v>
      </c>
    </row>
    <row r="13" spans="1:12" ht="30" customHeight="1" x14ac:dyDescent="0.3">
      <c r="A13" s="32" t="s">
        <v>45</v>
      </c>
      <c r="B13" s="12">
        <v>7</v>
      </c>
      <c r="C13" s="33" t="s">
        <v>187</v>
      </c>
      <c r="E13" s="24" t="s">
        <v>15</v>
      </c>
      <c r="F13" s="10">
        <v>5</v>
      </c>
      <c r="G13" s="25" t="s">
        <v>196</v>
      </c>
      <c r="I13" s="16" t="s">
        <v>35</v>
      </c>
      <c r="J13" s="11">
        <v>55</v>
      </c>
      <c r="K13" s="17" t="s">
        <v>207</v>
      </c>
    </row>
    <row r="14" spans="1:12" ht="30" x14ac:dyDescent="0.3">
      <c r="A14" s="32" t="s">
        <v>71</v>
      </c>
      <c r="B14" s="12">
        <v>5</v>
      </c>
      <c r="C14" s="33" t="s">
        <v>188</v>
      </c>
      <c r="E14" s="24" t="s">
        <v>18</v>
      </c>
      <c r="F14" s="10">
        <v>3</v>
      </c>
      <c r="G14" s="25" t="s">
        <v>197</v>
      </c>
      <c r="I14" s="16" t="s">
        <v>224</v>
      </c>
      <c r="J14" s="11">
        <v>110</v>
      </c>
      <c r="K14" s="17" t="s">
        <v>208</v>
      </c>
    </row>
    <row r="15" spans="1:12" ht="30" customHeight="1" x14ac:dyDescent="0.3">
      <c r="A15" s="32" t="s">
        <v>93</v>
      </c>
      <c r="B15" s="12">
        <v>1</v>
      </c>
      <c r="C15" s="33" t="s">
        <v>189</v>
      </c>
      <c r="E15" s="24" t="s">
        <v>42</v>
      </c>
      <c r="F15" s="10">
        <v>3</v>
      </c>
      <c r="G15" s="25" t="s">
        <v>198</v>
      </c>
      <c r="I15" s="16" t="s">
        <v>54</v>
      </c>
      <c r="J15" s="11">
        <v>120</v>
      </c>
      <c r="K15" s="17" t="s">
        <v>209</v>
      </c>
    </row>
    <row r="16" spans="1:12" ht="30" x14ac:dyDescent="0.3">
      <c r="A16" s="32" t="s">
        <v>98</v>
      </c>
      <c r="B16" s="12">
        <v>1</v>
      </c>
      <c r="C16" s="33" t="s">
        <v>189</v>
      </c>
      <c r="E16" s="24" t="s">
        <v>87</v>
      </c>
      <c r="F16" s="10">
        <v>9</v>
      </c>
      <c r="G16" s="25" t="s">
        <v>199</v>
      </c>
      <c r="I16" s="16" t="s">
        <v>64</v>
      </c>
      <c r="J16" s="11">
        <v>55</v>
      </c>
      <c r="K16" s="17" t="s">
        <v>210</v>
      </c>
    </row>
    <row r="17" spans="1:11" ht="30" customHeight="1" x14ac:dyDescent="0.3">
      <c r="A17" s="32" t="s">
        <v>103</v>
      </c>
      <c r="B17" s="12">
        <v>3</v>
      </c>
      <c r="C17" s="33" t="s">
        <v>190</v>
      </c>
      <c r="E17" s="24" t="s">
        <v>90</v>
      </c>
      <c r="F17" s="10">
        <v>9</v>
      </c>
      <c r="G17" s="25" t="s">
        <v>200</v>
      </c>
      <c r="I17" s="16" t="s">
        <v>72</v>
      </c>
      <c r="J17" s="11">
        <v>167</v>
      </c>
      <c r="K17" s="17" t="s">
        <v>211</v>
      </c>
    </row>
    <row r="18" spans="1:11" ht="30" customHeight="1" thickBot="1" x14ac:dyDescent="0.35">
      <c r="A18" s="34" t="s">
        <v>114</v>
      </c>
      <c r="B18" s="35">
        <v>12</v>
      </c>
      <c r="C18" s="36" t="s">
        <v>191</v>
      </c>
      <c r="E18" s="24" t="s">
        <v>95</v>
      </c>
      <c r="F18" s="10">
        <v>7</v>
      </c>
      <c r="G18" s="25" t="s">
        <v>201</v>
      </c>
      <c r="I18" s="16" t="s">
        <v>75</v>
      </c>
      <c r="J18" s="11">
        <v>45</v>
      </c>
      <c r="K18" s="17" t="s">
        <v>212</v>
      </c>
    </row>
    <row r="19" spans="1:11" ht="30" x14ac:dyDescent="0.3">
      <c r="E19" s="24" t="s">
        <v>105</v>
      </c>
      <c r="F19" s="10">
        <v>10</v>
      </c>
      <c r="G19" s="25" t="s">
        <v>202</v>
      </c>
      <c r="I19" s="16" t="s">
        <v>79</v>
      </c>
      <c r="J19" s="11">
        <v>80</v>
      </c>
      <c r="K19" s="17" t="s">
        <v>213</v>
      </c>
    </row>
    <row r="20" spans="1:11" ht="30" x14ac:dyDescent="0.3">
      <c r="E20" s="24" t="s">
        <v>108</v>
      </c>
      <c r="F20" s="10">
        <v>8</v>
      </c>
      <c r="G20" s="25" t="s">
        <v>203</v>
      </c>
      <c r="I20" s="16" t="s">
        <v>116</v>
      </c>
      <c r="J20" s="11">
        <v>200</v>
      </c>
      <c r="K20" s="17" t="s">
        <v>214</v>
      </c>
    </row>
    <row r="21" spans="1:11" ht="30" x14ac:dyDescent="0.3">
      <c r="E21" s="24" t="s">
        <v>137</v>
      </c>
      <c r="F21" s="10">
        <v>3</v>
      </c>
      <c r="G21" s="25" t="s">
        <v>204</v>
      </c>
      <c r="I21" s="16" t="s">
        <v>119</v>
      </c>
      <c r="J21" s="11">
        <v>40</v>
      </c>
      <c r="K21" s="17" t="s">
        <v>215</v>
      </c>
    </row>
    <row r="22" spans="1:11" ht="30.6" thickBot="1" x14ac:dyDescent="0.35">
      <c r="E22" s="26" t="s">
        <v>147</v>
      </c>
      <c r="F22" s="27">
        <v>8</v>
      </c>
      <c r="G22" s="28" t="s">
        <v>205</v>
      </c>
      <c r="I22" s="16" t="s">
        <v>123</v>
      </c>
      <c r="J22" s="11">
        <v>200</v>
      </c>
      <c r="K22" s="17" t="s">
        <v>216</v>
      </c>
    </row>
    <row r="23" spans="1:11" ht="30" x14ac:dyDescent="0.3">
      <c r="I23" s="16" t="s">
        <v>126</v>
      </c>
      <c r="J23" s="11">
        <v>100</v>
      </c>
      <c r="K23" s="17" t="s">
        <v>217</v>
      </c>
    </row>
    <row r="24" spans="1:11" ht="30" x14ac:dyDescent="0.3">
      <c r="I24" s="16" t="s">
        <v>218</v>
      </c>
      <c r="J24" s="11">
        <v>52</v>
      </c>
      <c r="K24" s="17" t="s">
        <v>219</v>
      </c>
    </row>
    <row r="25" spans="1:11" ht="30" x14ac:dyDescent="0.3">
      <c r="I25" s="16" t="s">
        <v>141</v>
      </c>
      <c r="J25" s="11">
        <v>33</v>
      </c>
      <c r="K25" s="17" t="s">
        <v>220</v>
      </c>
    </row>
    <row r="26" spans="1:11" ht="45" x14ac:dyDescent="0.3">
      <c r="I26" s="16" t="s">
        <v>144</v>
      </c>
      <c r="J26" s="11">
        <v>130</v>
      </c>
      <c r="K26" s="17" t="s">
        <v>221</v>
      </c>
    </row>
    <row r="27" spans="1:11" ht="30.6" thickBot="1" x14ac:dyDescent="0.35">
      <c r="I27" s="18" t="s">
        <v>155</v>
      </c>
      <c r="J27" s="19">
        <v>55</v>
      </c>
      <c r="K27" s="20" t="s">
        <v>222</v>
      </c>
    </row>
  </sheetData>
  <mergeCells count="7">
    <mergeCell ref="K4:L6"/>
    <mergeCell ref="A10:C10"/>
    <mergeCell ref="I10:J10"/>
    <mergeCell ref="A1:H2"/>
    <mergeCell ref="A4:B6"/>
    <mergeCell ref="D4:E6"/>
    <mergeCell ref="G4:H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810D-BC71-4163-AD51-22E458F78ECE}">
  <dimension ref="A1:U37"/>
  <sheetViews>
    <sheetView zoomScale="70" zoomScaleNormal="70" workbookViewId="0">
      <selection activeCell="E20" sqref="E20"/>
    </sheetView>
  </sheetViews>
  <sheetFormatPr defaultColWidth="14.88671875" defaultRowHeight="14.4" x14ac:dyDescent="0.3"/>
  <cols>
    <col min="1" max="1" width="21.6640625" customWidth="1"/>
    <col min="2" max="2" width="26" customWidth="1"/>
  </cols>
  <sheetData>
    <row r="1" spans="1:8" ht="15.6" customHeight="1" x14ac:dyDescent="0.3">
      <c r="A1" s="71" t="s">
        <v>226</v>
      </c>
      <c r="B1" s="71"/>
      <c r="C1" s="71"/>
      <c r="D1" s="71"/>
      <c r="E1" s="71"/>
      <c r="F1" s="71"/>
      <c r="G1" s="71"/>
      <c r="H1" s="71"/>
    </row>
    <row r="2" spans="1:8" ht="15.6" customHeight="1" x14ac:dyDescent="0.3">
      <c r="A2" s="71"/>
      <c r="B2" s="71"/>
      <c r="C2" s="71"/>
      <c r="D2" s="71"/>
      <c r="E2" s="71"/>
      <c r="F2" s="71"/>
      <c r="G2" s="71"/>
      <c r="H2" s="71"/>
    </row>
    <row r="6" spans="1:8" ht="15.6" x14ac:dyDescent="0.3">
      <c r="A6" s="72" t="s">
        <v>227</v>
      </c>
      <c r="B6" s="73"/>
    </row>
    <row r="8" spans="1:8" ht="15.6" x14ac:dyDescent="0.3">
      <c r="A8" s="5">
        <v>1</v>
      </c>
      <c r="B8" s="38" t="s">
        <v>228</v>
      </c>
      <c r="C8" s="5"/>
      <c r="D8" s="5"/>
      <c r="E8" s="5"/>
    </row>
    <row r="9" spans="1:8" ht="15.6" x14ac:dyDescent="0.3">
      <c r="A9" s="5">
        <v>2</v>
      </c>
      <c r="B9" s="38" t="s">
        <v>229</v>
      </c>
      <c r="C9" s="5"/>
      <c r="D9" s="5"/>
      <c r="E9" s="5"/>
    </row>
    <row r="10" spans="1:8" ht="15.6" x14ac:dyDescent="0.3">
      <c r="A10" s="5">
        <v>3</v>
      </c>
      <c r="B10" s="38" t="s">
        <v>230</v>
      </c>
      <c r="C10" s="5"/>
      <c r="D10" s="5"/>
      <c r="E10" s="5"/>
    </row>
    <row r="11" spans="1:8" ht="15.6" x14ac:dyDescent="0.3">
      <c r="A11" s="5">
        <v>4</v>
      </c>
      <c r="B11" s="38" t="s">
        <v>231</v>
      </c>
      <c r="C11" s="5"/>
      <c r="D11" s="5"/>
      <c r="E11" s="5"/>
    </row>
    <row r="12" spans="1:8" ht="15.6" x14ac:dyDescent="0.3">
      <c r="A12" s="5">
        <v>5</v>
      </c>
      <c r="B12" s="38" t="s">
        <v>232</v>
      </c>
      <c r="C12" s="5"/>
      <c r="D12" s="5"/>
      <c r="E12" s="5"/>
    </row>
    <row r="14" spans="1:8" ht="16.2" thickBot="1" x14ac:dyDescent="0.35">
      <c r="A14" s="40" t="s">
        <v>233</v>
      </c>
    </row>
    <row r="15" spans="1:8" ht="15" x14ac:dyDescent="0.3">
      <c r="A15" s="75" t="s">
        <v>233</v>
      </c>
      <c r="B15" s="76" t="s">
        <v>234</v>
      </c>
    </row>
    <row r="16" spans="1:8" ht="30" x14ac:dyDescent="0.3">
      <c r="A16" s="77" t="s">
        <v>235</v>
      </c>
      <c r="B16" s="78" t="s">
        <v>236</v>
      </c>
    </row>
    <row r="17" spans="1:5" ht="30" x14ac:dyDescent="0.3">
      <c r="A17" s="77" t="s">
        <v>237</v>
      </c>
      <c r="B17" s="78" t="s">
        <v>238</v>
      </c>
    </row>
    <row r="18" spans="1:5" ht="30" x14ac:dyDescent="0.3">
      <c r="A18" s="77" t="s">
        <v>239</v>
      </c>
      <c r="B18" s="78" t="s">
        <v>240</v>
      </c>
    </row>
    <row r="19" spans="1:5" ht="30" x14ac:dyDescent="0.3">
      <c r="A19" s="77" t="s">
        <v>241</v>
      </c>
      <c r="B19" s="78" t="s">
        <v>242</v>
      </c>
    </row>
    <row r="20" spans="1:5" ht="30" x14ac:dyDescent="0.3">
      <c r="A20" s="77" t="s">
        <v>243</v>
      </c>
      <c r="B20" s="78" t="s">
        <v>244</v>
      </c>
    </row>
    <row r="21" spans="1:5" ht="30" x14ac:dyDescent="0.3">
      <c r="A21" s="77" t="s">
        <v>245</v>
      </c>
      <c r="B21" s="78" t="s">
        <v>246</v>
      </c>
    </row>
    <row r="22" spans="1:5" ht="30" x14ac:dyDescent="0.3">
      <c r="A22" s="77" t="s">
        <v>247</v>
      </c>
      <c r="B22" s="78" t="s">
        <v>248</v>
      </c>
    </row>
    <row r="23" spans="1:5" ht="30.6" thickBot="1" x14ac:dyDescent="0.35">
      <c r="A23" s="79" t="s">
        <v>249</v>
      </c>
      <c r="B23" s="80" t="s">
        <v>250</v>
      </c>
    </row>
    <row r="26" spans="1:5" ht="15.6" x14ac:dyDescent="0.3">
      <c r="A26" s="39" t="s">
        <v>256</v>
      </c>
    </row>
    <row r="27" spans="1:5" x14ac:dyDescent="0.3">
      <c r="A27" s="37"/>
    </row>
    <row r="28" spans="1:5" ht="15.6" x14ac:dyDescent="0.3">
      <c r="A28" s="5">
        <v>1</v>
      </c>
      <c r="B28" s="38" t="s">
        <v>251</v>
      </c>
      <c r="C28" s="5"/>
      <c r="D28" s="5"/>
      <c r="E28" s="5"/>
    </row>
    <row r="29" spans="1:5" ht="15.6" x14ac:dyDescent="0.3">
      <c r="A29" s="5">
        <v>2</v>
      </c>
      <c r="B29" s="38" t="s">
        <v>252</v>
      </c>
      <c r="C29" s="5"/>
      <c r="D29" s="5"/>
      <c r="E29" s="5"/>
    </row>
    <row r="30" spans="1:5" ht="15.6" x14ac:dyDescent="0.3">
      <c r="A30" s="5">
        <v>3</v>
      </c>
      <c r="B30" s="38" t="s">
        <v>253</v>
      </c>
      <c r="C30" s="5"/>
      <c r="D30" s="5"/>
      <c r="E30" s="5"/>
    </row>
    <row r="31" spans="1:5" ht="15.6" x14ac:dyDescent="0.3">
      <c r="A31" s="5">
        <v>4</v>
      </c>
      <c r="B31" s="38" t="s">
        <v>254</v>
      </c>
      <c r="C31" s="5"/>
      <c r="D31" s="5"/>
      <c r="E31" s="5"/>
    </row>
    <row r="32" spans="1:5" ht="15.6" x14ac:dyDescent="0.3">
      <c r="A32" s="5">
        <v>5</v>
      </c>
      <c r="B32" s="38" t="s">
        <v>255</v>
      </c>
      <c r="C32" s="5"/>
      <c r="D32" s="5"/>
      <c r="E32" s="5"/>
    </row>
    <row r="35" spans="1:21" ht="15.6" x14ac:dyDescent="0.3">
      <c r="A35" s="39" t="s">
        <v>257</v>
      </c>
      <c r="B35" s="1"/>
    </row>
    <row r="37" spans="1:21" ht="15.6" x14ac:dyDescent="0.3">
      <c r="A37" s="74" t="s">
        <v>258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</row>
  </sheetData>
  <mergeCells count="3">
    <mergeCell ref="A1:H2"/>
    <mergeCell ref="A6:B6"/>
    <mergeCell ref="A37:U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Inventory Data</vt:lpstr>
      <vt:lpstr>Stock Health Analysis</vt:lpstr>
      <vt:lpstr>Dashboard</vt:lpstr>
      <vt:lpstr>Suggestions &amp; Automation 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AV</dc:creator>
  <cp:lastModifiedBy>PRINCE AV</cp:lastModifiedBy>
  <dcterms:created xsi:type="dcterms:W3CDTF">2026-05-16T05:42:36Z</dcterms:created>
  <dcterms:modified xsi:type="dcterms:W3CDTF">2026-05-18T06:06:52Z</dcterms:modified>
</cp:coreProperties>
</file>